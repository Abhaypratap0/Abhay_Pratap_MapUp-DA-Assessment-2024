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BHAY PRATAP\OneDrive\Desktop\sample\MapUp-DA-Assessment-2024\"/>
    </mc:Choice>
  </mc:AlternateContent>
  <bookViews>
    <workbookView xWindow="0" yWindow="504" windowWidth="29400" windowHeight="1629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34" i="20"/>
  <c r="C35" i="20"/>
  <c r="C24" i="20"/>
  <c r="C25" i="20"/>
  <c r="C26" i="20"/>
  <c r="C27" i="20"/>
  <c r="C28" i="20"/>
  <c r="C29" i="20"/>
  <c r="C30" i="20"/>
  <c r="C31" i="20"/>
  <c r="C32" i="20"/>
  <c r="C33" i="20"/>
  <c r="C22" i="19" a="1"/>
  <c r="C22" i="19" s="1"/>
  <c r="C30" i="18" l="1"/>
  <c r="D30" i="18"/>
  <c r="E30" i="18"/>
  <c r="F30" i="18"/>
  <c r="C29" i="18"/>
  <c r="D29" i="18"/>
  <c r="E29" i="18"/>
  <c r="F29" i="18"/>
  <c r="C28" i="18"/>
  <c r="D28" i="18"/>
  <c r="E28" i="18"/>
  <c r="F28" i="18"/>
  <c r="B29" i="18"/>
  <c r="B30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6" i="1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<sst xmlns="http://schemas.openxmlformats.org/spreadsheetml/2006/main" count="404" uniqueCount="182">
  <si>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</si>
  <si>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</si>
  <si>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</si>
  <si>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</si>
  <si>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</si>
  <si>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</si>
  <si>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</si>
  <si>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</si>
  <si>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</si>
  <si>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</si>
  <si>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</si>
  <si>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</si>
  <si>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</si>
  <si>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</si>
  <si>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</si>
  <si>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</si>
  <si>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</si>
  <si>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</si>
  <si>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</si>
  <si>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</si>
  <si>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</si>
  <si>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</si>
  <si>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</si>
  <si>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</si>
  <si>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</si>
  <si>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</si>
  <si>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</si>
  <si>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</si>
  <si>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</si>
  <si>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</si>
  <si>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</si>
  <si>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</si>
  <si>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</si>
  <si>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</si>
  <si>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</si>
  <si>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</si>
  <si>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</si>
  <si>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</si>
  <si>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</si>
  <si>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</si>
  <si>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</si>
  <si>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</si>
  <si>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</si>
  <si>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</si>
  <si>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</si>
  <si>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</si>
  <si>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</si>
  <si>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</si>
  <si>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</si>
  <si>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</si>
  <si>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</si>
  <si>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</si>
  <si>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</si>
  <si>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</si>
  <si>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</si>
  <si>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</si>
  <si>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</si>
  <si>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</si>
  <si>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</si>
  <si>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</si>
  <si>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</si>
  <si>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</si>
  <si>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</si>
  <si>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</si>
  <si>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</si>
  <si>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</si>
  <si>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</si>
  <si>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</si>
  <si>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</si>
  <si>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</si>
  <si>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</si>
  <si>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</si>
  <si>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</si>
  <si>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</si>
  <si>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</si>
  <si>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</si>
  <si>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</si>
  <si>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</si>
  <si>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</si>
  <si>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</si>
  <si>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</si>
  <si>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</si>
  <si>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</si>
  <si>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</si>
  <si>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</si>
  <si>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</si>
  <si>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</si>
  <si>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</si>
  <si>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</si>
  <si>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</si>
  <si>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</si>
  <si>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</si>
  <si>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</si>
  <si>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</si>
  <si>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</si>
  <si>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</si>
  <si>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</si>
  <si>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</si>
  <si>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</si>
  <si>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</si>
  <si>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</si>
  <si>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</si>
  <si>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</si>
  <si>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</si>
  <si>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</si>
  <si>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</si>
  <si>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</si>
  <si>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</si>
  <si>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</si>
  <si>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</si>
  <si>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</si>
  <si>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</si>
  <si>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</si>
  <si>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</si>
  <si>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</si>
  <si>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</si>
  <si>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</si>
  <si>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</si>
  <si>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</si>
  <si>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</si>
  <si>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</si>
  <si>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</si>
  <si>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</si>
  <si>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</si>
  <si>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</si>
  <si>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</si>
  <si>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</si>
  <si>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</si>
  <si>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</si>
  <si>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</si>
  <si>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</si>
  <si>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</si>
  <si>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</si>
  <si>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</si>
  <si>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</si>
  <si>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</si>
  <si>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</si>
  <si>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</si>
  <si>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</si>
  <si>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</si>
  <si>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</si>
  <si>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</si>
  <si>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</si>
  <si>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</si>
  <si>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</si>
  <si>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</si>
  <si>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</si>
  <si>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</si>
  <si>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</si>
  <si>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</si>
  <si>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</si>
  <si>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</si>
  <si>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</si>
  <si>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</si>
  <si>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</si>
  <si>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</si>
  <si>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</si>
  <si>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</si>
  <si>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</si>
  <si>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</si>
  <si>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</si>
  <si>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</si>
  <si>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</si>
  <si>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</si>
  <si>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</si>
  <si>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</si>
  <si>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</si>
  <si>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</si>
  <si>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</si>
  <si>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</si>
  <si>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</si>
  <si>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</si>
  <si>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</si>
  <si>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</si>
  <si>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</si>
  <si>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</si>
  <si>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</si>
  <si>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 "  =SUMIF(H:H, "&gt;20")   "</t>
  </si>
  <si>
    <r>
      <rPr>
        <b/>
        <sz val="11"/>
        <color rgb="FF000000"/>
        <rFont val="Calibri"/>
        <family val="2"/>
        <scheme val="minor"/>
      </rPr>
      <t>Formula</t>
    </r>
    <r>
      <rPr>
        <sz val="11"/>
        <color rgb="FF000000"/>
        <rFont val="Calibri"/>
        <family val="2"/>
        <scheme val="minor"/>
      </rPr>
      <t xml:space="preserve">= SUM(IFERROR(C12:C21, 20)), </t>
    </r>
    <r>
      <rPr>
        <b/>
        <sz val="11"/>
        <color rgb="FF000000"/>
        <rFont val="Calibri"/>
        <family val="2"/>
        <scheme val="minor"/>
      </rPr>
      <t>Functionality used:</t>
    </r>
    <r>
      <rPr>
        <sz val="11"/>
        <color rgb="FF000000"/>
        <rFont val="Calibri"/>
        <family val="2"/>
        <scheme val="minor"/>
      </rPr>
      <t xml:space="preserve"> IFERROR: Replaces errors (#N/A) with a 20, SUM: Adds the values together.</t>
    </r>
  </si>
  <si>
    <t>Enter the formula =SUM(IFERROR(C12:C21, 20)) in a cell C22 then press Ctrl + Shift + Enter to apply it as an array formula. The IFERROR function checks each value in the range C12:C21 and replaces any #N/A with 20. The SUM function then adds all the values, including the replaced ones, to get the sum of the sales.</t>
  </si>
  <si>
    <r>
      <rPr>
        <b/>
        <sz val="10"/>
        <color rgb="FF000000"/>
        <rFont val="Calibri"/>
        <family val="2"/>
        <scheme val="minor"/>
      </rPr>
      <t>Formula:</t>
    </r>
    <r>
      <rPr>
        <sz val="10"/>
        <color rgb="FF000000"/>
        <rFont val="Calibri"/>
        <family val="2"/>
        <scheme val="minor"/>
      </rPr>
      <t xml:space="preserve"> = INDEX($A$9:$J$18, MATCH(A23, $M$9:$M$18, 0), MATCH(B23, $M$9:$M$18, 0)) for cell C23, </t>
    </r>
    <r>
      <rPr>
        <b/>
        <sz val="10"/>
        <color rgb="FF000000"/>
        <rFont val="Calibri"/>
        <family val="2"/>
        <scheme val="minor"/>
      </rPr>
      <t>Functionality:</t>
    </r>
    <r>
      <rPr>
        <sz val="10"/>
        <color rgb="FF000000"/>
        <rFont val="Calibri"/>
        <family val="2"/>
        <scheme val="minor"/>
      </rPr>
      <t xml:space="preserve"> INDEX and MATCH Combination</t>
    </r>
  </si>
  <si>
    <r>
      <t xml:space="preserve">The </t>
    </r>
    <r>
      <rPr>
        <b/>
        <sz val="10"/>
        <color rgb="FF000000"/>
        <rFont val="Calibri"/>
        <family val="2"/>
        <scheme val="minor"/>
      </rPr>
      <t>INDEX</t>
    </r>
    <r>
      <rPr>
        <sz val="10"/>
        <color rgb="FF000000"/>
        <rFont val="Calibri"/>
        <family val="2"/>
        <scheme val="minor"/>
      </rPr>
      <t xml:space="preserve"> function to retrieve values from</t>
    </r>
    <r>
      <rPr>
        <b/>
        <sz val="10"/>
        <color rgb="FF000000"/>
        <rFont val="Calibri"/>
        <family val="2"/>
        <scheme val="minor"/>
      </rPr>
      <t xml:space="preserve"> Table A</t>
    </r>
    <r>
      <rPr>
        <sz val="10"/>
        <color rgb="FF000000"/>
        <rFont val="Calibri"/>
        <family val="2"/>
        <scheme val="minor"/>
      </rPr>
      <t xml:space="preserve"> based on row and column indices. The </t>
    </r>
    <r>
      <rPr>
        <b/>
        <sz val="10"/>
        <color rgb="FF000000"/>
        <rFont val="Calibri"/>
        <family val="2"/>
        <scheme val="minor"/>
      </rPr>
      <t>MATCH</t>
    </r>
    <r>
      <rPr>
        <sz val="10"/>
        <color rgb="FF000000"/>
        <rFont val="Calibri"/>
        <family val="2"/>
        <scheme val="minor"/>
      </rPr>
      <t xml:space="preserve"> function identifies the position of names from </t>
    </r>
    <r>
      <rPr>
        <b/>
        <sz val="10"/>
        <color rgb="FF000000"/>
        <rFont val="Calibri"/>
        <family val="2"/>
        <scheme val="minor"/>
      </rPr>
      <t>Table B</t>
    </r>
    <r>
      <rPr>
        <sz val="10"/>
        <color rgb="FF000000"/>
        <rFont val="Calibri"/>
        <family val="2"/>
        <scheme val="minor"/>
      </rPr>
      <t>. By combining these functions, we can dynamically fill the "</t>
    </r>
    <r>
      <rPr>
        <b/>
        <sz val="10"/>
        <color rgb="FF000000"/>
        <rFont val="Calibri"/>
        <family val="2"/>
        <scheme val="minor"/>
      </rPr>
      <t>value</t>
    </r>
    <r>
      <rPr>
        <sz val="10"/>
        <color rgb="FF000000"/>
        <rFont val="Calibri"/>
        <family val="2"/>
        <scheme val="minor"/>
      </rPr>
      <t xml:space="preserve">" column in </t>
    </r>
    <r>
      <rPr>
        <b/>
        <sz val="10"/>
        <color rgb="FF000000"/>
        <rFont val="Calibri"/>
        <family val="2"/>
        <scheme val="minor"/>
      </rPr>
      <t>Table C</t>
    </r>
    <r>
      <rPr>
        <sz val="10"/>
        <color rgb="FF000000"/>
        <rFont val="Calibri"/>
        <family val="2"/>
        <scheme val="minor"/>
      </rPr>
      <t xml:space="preserve"> with corresponding data from </t>
    </r>
    <r>
      <rPr>
        <b/>
        <sz val="10"/>
        <color rgb="FF000000"/>
        <rFont val="Calibri"/>
        <family val="2"/>
        <scheme val="minor"/>
      </rPr>
      <t>Table A</t>
    </r>
    <r>
      <rPr>
        <sz val="10"/>
        <color rgb="FF000000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</si>
</sst>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0" xfId="0" applyFont="1" applyAlignment="1"/>
    <xf numFmtId="0" fontId="13" fillId="0" borderId="0" xfId="0" applyFont="1" applyAlignme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ont>
        <color rgb="FF00B05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R1" zoomScale="78" zoomScaleNormal="78" workbookViewId="0">
      <pane ySplit="1" topLeftCell="A34" activePane="bottomLeft" state="frozen"/>
      <selection activeCell="F1" sqref="F1"/>
      <selection pane="bottomLeft" activeCell="W43" sqref="W4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 t="e">
        <f>VLOOKUP(Task_2!A1:X40,MATCH(Dataset!$A$1:$X$1,0),0)</f>
        <v>#N/A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3">
      <c r="H42" s="1">
        <f ca="1">SUMIF(H:H, "&gt;20")</f>
        <v>216531.00000000003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D8">
    <cfRule type="cellIs" dxfId="3" priority="4" operator="equal">
      <formula>-1</formula>
    </cfRule>
  </conditionalFormatting>
  <conditionalFormatting sqref="G23">
    <cfRule type="cellIs" dxfId="2" priority="3" operator="equal">
      <formula>-1</formula>
    </cfRule>
  </conditionalFormatting>
  <conditionalFormatting sqref="A1:XFD1048576">
    <cfRule type="cellIs" dxfId="1" priority="2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topLeftCell="C1"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7" zoomScale="73" zoomScaleNormal="73" workbookViewId="0">
      <selection activeCell="B30" sqref="B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VLOOKUP(A6,Dataset!A2:X40,7,FALSE)</f>
        <v>2.7</v>
      </c>
      <c r="C6" s="12">
        <f>VLOOKUP(A6,Dataset!A2:X40,14,FALSE)</f>
        <v>7.6</v>
      </c>
      <c r="D6" s="12">
        <f>VLOOKUP(A6,Dataset!A2:X40,18,FALSE)</f>
        <v>4.2</v>
      </c>
      <c r="E6" s="12">
        <f>VLOOKUP(A6,Dataset!A2:X40,20,FALSE)</f>
        <v>8.9</v>
      </c>
      <c r="F6" s="8">
        <f>VLOOKUP(A6,Dataset!A2:X40,22,FALSE)</f>
        <v>4.2</v>
      </c>
    </row>
    <row r="7" spans="1:7" ht="14.4" x14ac:dyDescent="0.3">
      <c r="A7" s="7" t="s">
        <v>4</v>
      </c>
      <c r="B7" s="12">
        <f>VLOOKUP(A7,Dataset!A3:X41,7,FALSE)</f>
        <v>2.7</v>
      </c>
      <c r="C7" s="12">
        <f>VLOOKUP(A7,Dataset!A3:X41,14,FALSE)</f>
        <v>7.6</v>
      </c>
      <c r="D7" s="12">
        <f>VLOOKUP(A7,Dataset!A3:X41,18,FALSE)</f>
        <v>4.2</v>
      </c>
      <c r="E7" s="12">
        <f>VLOOKUP(A7,Dataset!A3:X41,20,FALSE)</f>
        <v>8.9</v>
      </c>
      <c r="F7" s="8">
        <f>VLOOKUP(A7,Dataset!A3:X41,22,FALSE)</f>
        <v>4.2</v>
      </c>
    </row>
    <row r="8" spans="1:7" ht="14.4" x14ac:dyDescent="0.3">
      <c r="A8" s="7" t="s">
        <v>7</v>
      </c>
      <c r="B8" s="12">
        <f>VLOOKUP(A8,Dataset!A4:X42,7,FALSE)</f>
        <v>3.6</v>
      </c>
      <c r="C8" s="12">
        <f>VLOOKUP(A8,Dataset!A4:X42,14,FALSE)</f>
        <v>11.1</v>
      </c>
      <c r="D8" s="12">
        <f>VLOOKUP(A8,Dataset!A4:X42,18,FALSE)</f>
        <v>5.8</v>
      </c>
      <c r="E8" s="12">
        <f>VLOOKUP(A8,Dataset!A4:X42,20,FALSE)</f>
        <v>12.2</v>
      </c>
      <c r="F8" s="8">
        <f>VLOOKUP(A8,Dataset!A4:X42,22,FALSE)</f>
        <v>5.8</v>
      </c>
    </row>
    <row r="9" spans="1:7" ht="14.4" x14ac:dyDescent="0.3">
      <c r="A9" s="7" t="s">
        <v>8</v>
      </c>
      <c r="B9" s="12">
        <f>VLOOKUP(A9,Dataset!A5:X43,7,FALSE)</f>
        <v>4.9000000000000004</v>
      </c>
      <c r="C9" s="12">
        <f>VLOOKUP(A9,Dataset!A5:X43,14,FALSE)</f>
        <v>13.3</v>
      </c>
      <c r="D9" s="12">
        <f>VLOOKUP(A9,Dataset!A5:X43,18,FALSE)</f>
        <v>8.1</v>
      </c>
      <c r="E9" s="12">
        <f>VLOOKUP(A9,Dataset!A5:X43,20,FALSE)</f>
        <v>17</v>
      </c>
      <c r="F9" s="8">
        <f>VLOOKUP(A9,Dataset!A5:X43,22,FALSE)</f>
        <v>8.1</v>
      </c>
    </row>
    <row r="10" spans="1:7" ht="14.4" x14ac:dyDescent="0.3">
      <c r="A10" s="7" t="s">
        <v>11</v>
      </c>
      <c r="B10" s="12">
        <f>VLOOKUP(A10,Dataset!A6:X44,7,FALSE)</f>
        <v>9.4</v>
      </c>
      <c r="C10" s="12">
        <f>VLOOKUP(A10,Dataset!A6:X44,14,FALSE)</f>
        <v>28.3</v>
      </c>
      <c r="D10" s="12">
        <f>VLOOKUP(A10,Dataset!A6:X44,18,FALSE)</f>
        <v>16.100000000000001</v>
      </c>
      <c r="E10" s="12">
        <f>VLOOKUP(A10,Dataset!A6:X44,20,FALSE)</f>
        <v>32.799999999999997</v>
      </c>
      <c r="F10" s="8">
        <f>VLOOKUP(A10,Dataset!A6:X44,22,FALSE)</f>
        <v>16.100000000000001</v>
      </c>
    </row>
    <row r="11" spans="1:7" ht="14.4" x14ac:dyDescent="0.3">
      <c r="A11" s="7" t="s">
        <v>12</v>
      </c>
      <c r="B11" s="12">
        <f>VLOOKUP(A11,Dataset!A7:X45,7,FALSE)</f>
        <v>11.6</v>
      </c>
      <c r="C11" s="12">
        <f>VLOOKUP(A11,Dataset!A7:X45,14,FALSE)</f>
        <v>35.200000000000003</v>
      </c>
      <c r="D11" s="12">
        <f>VLOOKUP(A11,Dataset!A7:X45,18,FALSE)</f>
        <v>21.3</v>
      </c>
      <c r="E11" s="12">
        <f>VLOOKUP(A11,Dataset!A7:X45,20,FALSE)</f>
        <v>43</v>
      </c>
      <c r="F11" s="8">
        <f>VLOOKUP(A11,Dataset!A7:X45,22,FALSE)</f>
        <v>21.3</v>
      </c>
    </row>
    <row r="12" spans="1:7" ht="14.4" x14ac:dyDescent="0.3">
      <c r="A12" s="7" t="s">
        <v>14</v>
      </c>
      <c r="B12" s="12">
        <f>VLOOKUP(A12,Dataset!A8:X46,7,FALSE)</f>
        <v>18.399999999999999</v>
      </c>
      <c r="C12" s="12">
        <f>VLOOKUP(A12,Dataset!A8:X46,14,FALSE)</f>
        <v>55.6</v>
      </c>
      <c r="D12" s="12">
        <f>VLOOKUP(A12,Dataset!A8:X46,18,FALSE)</f>
        <v>33.799999999999997</v>
      </c>
      <c r="E12" s="12">
        <f>VLOOKUP(A12,Dataset!A8:X46,20,FALSE)</f>
        <v>67.900000000000006</v>
      </c>
      <c r="F12" s="8">
        <f>VLOOKUP(A12,Dataset!A8:X46,22,FALSE)</f>
        <v>33.799999999999997</v>
      </c>
    </row>
    <row r="13" spans="1:7" ht="14.4" x14ac:dyDescent="0.3">
      <c r="A13" s="7" t="s">
        <v>15</v>
      </c>
      <c r="B13" s="12">
        <f>VLOOKUP(A13,Dataset!A9:X47,7,FALSE)</f>
        <v>0</v>
      </c>
      <c r="C13" s="12">
        <f>VLOOKUP(A13,Dataset!A9:X47,14,FALSE)</f>
        <v>0</v>
      </c>
      <c r="D13" s="12">
        <f>VLOOKUP(A13,Dataset!A9:X47,18,FALSE)</f>
        <v>0</v>
      </c>
      <c r="E13" s="12">
        <f>VLOOKUP(A13,Dataset!A9:X47,20,FALSE)</f>
        <v>0</v>
      </c>
      <c r="F13" s="8">
        <f>VLOOKUP(A13,Dataset!A9:X47,22,FALSE)</f>
        <v>0</v>
      </c>
    </row>
    <row r="14" spans="1:7" ht="14.4" x14ac:dyDescent="0.3">
      <c r="A14" s="7" t="s">
        <v>16</v>
      </c>
      <c r="B14" s="12">
        <f>VLOOKUP(A14,Dataset!A10:X48,7,FALSE)</f>
        <v>21.9</v>
      </c>
      <c r="C14" s="12">
        <f>VLOOKUP(A14,Dataset!A10:X48,14,FALSE)</f>
        <v>61.5</v>
      </c>
      <c r="D14" s="12">
        <f>VLOOKUP(A14,Dataset!A10:X48,18,FALSE)</f>
        <v>40.1</v>
      </c>
      <c r="E14" s="12">
        <f>VLOOKUP(A14,Dataset!A10:X48,20,FALSE)</f>
        <v>76.599999999999994</v>
      </c>
      <c r="F14" s="8">
        <f>VLOOKUP(A14,Dataset!A10:X48,22,FALSE)</f>
        <v>40.1</v>
      </c>
    </row>
    <row r="15" spans="1:7" ht="14.4" x14ac:dyDescent="0.3">
      <c r="A15" s="7" t="s">
        <v>18</v>
      </c>
      <c r="B15" s="12">
        <f>VLOOKUP(A15,Dataset!A11:X49,7,FALSE)</f>
        <v>26.8</v>
      </c>
      <c r="C15" s="12">
        <f>VLOOKUP(A15,Dataset!A11:X49,14,FALSE)</f>
        <v>79.599999999999994</v>
      </c>
      <c r="D15" s="12">
        <f>VLOOKUP(A15,Dataset!A11:X49,18,FALSE)</f>
        <v>47.9</v>
      </c>
      <c r="E15" s="12">
        <f>VLOOKUP(A15,Dataset!A11:X49,20,FALSE)</f>
        <v>96.8</v>
      </c>
      <c r="F15" s="8">
        <f>VLOOKUP(A15,Dataset!A11:X49,22,FALSE)</f>
        <v>47.9</v>
      </c>
    </row>
    <row r="16" spans="1:7" ht="14.4" x14ac:dyDescent="0.3">
      <c r="A16" s="7" t="s">
        <v>20</v>
      </c>
      <c r="B16" s="12">
        <f>VLOOKUP(A16,Dataset!A12:X50,7,FALSE)</f>
        <v>28.5</v>
      </c>
      <c r="C16" s="12">
        <f>VLOOKUP(A16,Dataset!A12:X50,14,FALSE)</f>
        <v>85.4</v>
      </c>
      <c r="D16" s="12">
        <f>VLOOKUP(A16,Dataset!A12:X50,18,FALSE)</f>
        <v>52.3</v>
      </c>
      <c r="E16" s="12">
        <f>VLOOKUP(A16,Dataset!A12:X50,20,FALSE)</f>
        <v>106.1</v>
      </c>
      <c r="F16" s="8">
        <f>VLOOKUP(A16,Dataset!A12:X50,22,FALSE)</f>
        <v>52.3</v>
      </c>
    </row>
    <row r="17" spans="1:6" ht="14.4" x14ac:dyDescent="0.3">
      <c r="A17" s="7" t="s">
        <v>22</v>
      </c>
      <c r="B17" s="12">
        <f>VLOOKUP(A17,Dataset!A13:X51,7,FALSE)</f>
        <v>30.7</v>
      </c>
      <c r="C17" s="12">
        <f>VLOOKUP(A17,Dataset!A13:X51,14,FALSE)</f>
        <v>92.1</v>
      </c>
      <c r="D17" s="12">
        <f>VLOOKUP(A17,Dataset!A13:X51,18,FALSE)</f>
        <v>57</v>
      </c>
      <c r="E17" s="12">
        <f>VLOOKUP(A17,Dataset!A13:X51,20,FALSE)</f>
        <v>115.1</v>
      </c>
      <c r="F17" s="8">
        <f>VLOOKUP(A17,Dataset!A13:X51,22,FALSE)</f>
        <v>57</v>
      </c>
    </row>
    <row r="18" spans="1:6" ht="14.4" x14ac:dyDescent="0.3">
      <c r="A18" s="7" t="s">
        <v>23</v>
      </c>
      <c r="B18" s="12">
        <f>VLOOKUP(A18,Dataset!A14:X52,7,FALSE)</f>
        <v>33.799999999999997</v>
      </c>
      <c r="C18" s="12">
        <f>VLOOKUP(A18,Dataset!A14:X52,14,FALSE)</f>
        <v>101.3</v>
      </c>
      <c r="D18" s="12">
        <f>VLOOKUP(A18,Dataset!A14:X52,18,FALSE)</f>
        <v>61.4</v>
      </c>
      <c r="E18" s="12">
        <f>VLOOKUP(A18,Dataset!A14:X52,20,FALSE)</f>
        <v>124.4</v>
      </c>
      <c r="F18" s="8">
        <f>VLOOKUP(A18,Dataset!A14:X52,22,FALSE)</f>
        <v>61.4</v>
      </c>
    </row>
    <row r="19" spans="1:6" ht="14.4" x14ac:dyDescent="0.3">
      <c r="A19" s="7" t="s">
        <v>24</v>
      </c>
      <c r="B19" s="12">
        <f>VLOOKUP(A19,Dataset!A15:X53,7,FALSE)</f>
        <v>34.700000000000003</v>
      </c>
      <c r="C19" s="12">
        <f>VLOOKUP(A19,Dataset!A15:X53,14,FALSE)</f>
        <v>106.1</v>
      </c>
      <c r="D19" s="12">
        <f>VLOOKUP(A19,Dataset!A15:X53,18,FALSE)</f>
        <v>63.6</v>
      </c>
      <c r="E19" s="12">
        <f>VLOOKUP(A19,Dataset!A15:X53,20,FALSE)</f>
        <v>128.6</v>
      </c>
      <c r="F19" s="8">
        <f>VLOOKUP(A19,Dataset!A15:X53,22,FALSE)</f>
        <v>63.6</v>
      </c>
    </row>
    <row r="20" spans="1:6" ht="14.4" x14ac:dyDescent="0.3">
      <c r="A20" s="7" t="s">
        <v>28</v>
      </c>
      <c r="B20" s="12">
        <f>VLOOKUP(A20,Dataset!A16:X54,7,FALSE)</f>
        <v>0</v>
      </c>
      <c r="C20" s="12">
        <f>VLOOKUP(A20,Dataset!A16:X54,14,FALSE)</f>
        <v>0</v>
      </c>
      <c r="D20" s="12">
        <f>VLOOKUP(A20,Dataset!A16:X54,18,FALSE)</f>
        <v>0</v>
      </c>
      <c r="E20" s="12">
        <f>VLOOKUP(A20,Dataset!A16:X54,20,FALSE)</f>
        <v>0</v>
      </c>
      <c r="F20" s="8">
        <f>VLOOKUP(A20,Dataset!A16:X54,22,FALSE)</f>
        <v>0</v>
      </c>
    </row>
    <row r="21" spans="1:6" ht="14.4" x14ac:dyDescent="0.3">
      <c r="A21" s="7" t="s">
        <v>57</v>
      </c>
      <c r="B21" s="12">
        <f>VLOOKUP(A21,Dataset!A17:X55,7,FALSE)</f>
        <v>41.3</v>
      </c>
      <c r="C21" s="12">
        <f>VLOOKUP(A21,Dataset!A17:X55,14,FALSE)</f>
        <v>124.4</v>
      </c>
      <c r="D21" s="12">
        <f>VLOOKUP(A21,Dataset!A17:X55,18,FALSE)</f>
        <v>75</v>
      </c>
      <c r="E21" s="12">
        <f>VLOOKUP(A21,Dataset!A17:X55,20,FALSE)</f>
        <v>151.5</v>
      </c>
      <c r="F21" s="8">
        <f>VLOOKUP(A21,Dataset!A17:X55,22,FALSE)</f>
        <v>75</v>
      </c>
    </row>
    <row r="22" spans="1:6" ht="14.4" x14ac:dyDescent="0.3">
      <c r="A22" s="7" t="s">
        <v>58</v>
      </c>
      <c r="B22" s="12">
        <f>VLOOKUP(A22,Dataset!A18:X56,7,FALSE)</f>
        <v>-1</v>
      </c>
      <c r="C22" s="12">
        <f>VLOOKUP(A22,Dataset!A18:X56,14,FALSE)</f>
        <v>-1</v>
      </c>
      <c r="D22" s="12">
        <f>VLOOKUP(A22,Dataset!A18:X56,18,FALSE)</f>
        <v>-1</v>
      </c>
      <c r="E22" s="12">
        <f>VLOOKUP(A22,Dataset!A18:X56,20,FALSE)</f>
        <v>-1</v>
      </c>
      <c r="F22" s="8">
        <f>VLOOKUP(A22,Dataset!A18:X56,22,FALSE)</f>
        <v>-1</v>
      </c>
    </row>
    <row r="23" spans="1:6" ht="14.4" x14ac:dyDescent="0.3">
      <c r="A23" s="7" t="s">
        <v>31</v>
      </c>
      <c r="B23" s="12">
        <f>VLOOKUP(A23,Dataset!A19:X57,7,FALSE)</f>
        <v>45</v>
      </c>
      <c r="C23" s="12">
        <f>VLOOKUP(A23,Dataset!A19:X57,14,FALSE)</f>
        <v>133.4</v>
      </c>
      <c r="D23" s="12">
        <f>VLOOKUP(A23,Dataset!A19:X57,18,FALSE)</f>
        <v>79.400000000000006</v>
      </c>
      <c r="E23" s="12">
        <f>VLOOKUP(A23,Dataset!A19:X57,20,FALSE)</f>
        <v>160.9</v>
      </c>
      <c r="F23" s="8">
        <f>VLOOKUP(A23,Dataset!A19:X57,22,FALSE)</f>
        <v>79.400000000000006</v>
      </c>
    </row>
    <row r="24" spans="1:6" ht="14.4" x14ac:dyDescent="0.3">
      <c r="A24" s="7" t="s">
        <v>32</v>
      </c>
      <c r="B24" s="12">
        <f>VLOOKUP(A24,Dataset!A20:X58,7,FALSE)</f>
        <v>-1</v>
      </c>
      <c r="C24" s="12">
        <f>VLOOKUP(A24,Dataset!A20:X58,14,FALSE)</f>
        <v>-1</v>
      </c>
      <c r="D24" s="12">
        <f>VLOOKUP(A24,Dataset!A20:X58,18,FALSE)</f>
        <v>-1</v>
      </c>
      <c r="E24" s="12">
        <f>VLOOKUP(A24,Dataset!A20:X58,20,FALSE)</f>
        <v>-1</v>
      </c>
      <c r="F24" s="8">
        <f>VLOOKUP(A24,Dataset!A20:X58,22,FALSE)</f>
        <v>-1</v>
      </c>
    </row>
    <row r="25" spans="1:6" ht="14.4" x14ac:dyDescent="0.3">
      <c r="A25" s="7" t="s">
        <v>34</v>
      </c>
      <c r="B25" s="12">
        <f>VLOOKUP(A25,Dataset!A21:X59,7,FALSE)</f>
        <v>43.3</v>
      </c>
      <c r="C25" s="12">
        <f>VLOOKUP(A25,Dataset!A21:X59,14,FALSE)</f>
        <v>128.6</v>
      </c>
      <c r="D25" s="12">
        <f>VLOOKUP(A25,Dataset!A21:X59,18,FALSE)</f>
        <v>79.400000000000006</v>
      </c>
      <c r="E25" s="12">
        <f>VLOOKUP(A25,Dataset!A21:X59,20,FALSE)</f>
        <v>160.9</v>
      </c>
      <c r="F25" s="8">
        <f>VLOOKUP(A25,Dataset!A21:X59,22,FALSE)</f>
        <v>79.400000000000006</v>
      </c>
    </row>
    <row r="26" spans="1:6" ht="14.4" x14ac:dyDescent="0.3">
      <c r="A26" s="7" t="s">
        <v>37</v>
      </c>
      <c r="B26" s="12">
        <f>VLOOKUP(A26,Dataset!A22:X60,7,FALSE)</f>
        <v>49.1</v>
      </c>
      <c r="C26" s="12">
        <f>VLOOKUP(A26,Dataset!A22:X60,14,FALSE)</f>
        <v>146.80000000000001</v>
      </c>
      <c r="D26" s="12">
        <f>VLOOKUP(A26,Dataset!A22:X60,18,FALSE)</f>
        <v>90.9</v>
      </c>
      <c r="E26" s="12">
        <f>VLOOKUP(A26,Dataset!A22:X60,20,FALSE)</f>
        <v>183.5</v>
      </c>
      <c r="F26" s="8">
        <f>VLOOKUP(A26,Dataset!A22:X60,22,FALSE)</f>
        <v>90.9</v>
      </c>
    </row>
    <row r="27" spans="1:6" ht="14.4" x14ac:dyDescent="0.3">
      <c r="A27" s="7" t="s">
        <v>39</v>
      </c>
      <c r="B27" s="12">
        <f>VLOOKUP(A27,Dataset!A23:X61,7,FALSE)</f>
        <v>51.8</v>
      </c>
      <c r="C27" s="12">
        <f>VLOOKUP(A27,Dataset!A23:X61,14,FALSE)</f>
        <v>156.4</v>
      </c>
      <c r="D27" s="12">
        <f>VLOOKUP(A27,Dataset!A23:X61,18,FALSE)</f>
        <v>93.1</v>
      </c>
      <c r="E27" s="12">
        <f>VLOOKUP(A27,Dataset!A23:X61,20,FALSE)</f>
        <v>188.1</v>
      </c>
      <c r="F27" s="8">
        <f>VLOOKUP(A27,Dataset!A23:X61,22,FALSE)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37" zoomScaleNormal="100" workbookViewId="0">
      <selection activeCell="H11" sqref="H1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7" zoomScaleNormal="100" workbookViewId="0">
      <selection activeCell="D16" sqref="D1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152</v>
      </c>
      <c r="B7" s="1" t="s">
        <v>179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>
        <f t="array" ref="C22">SUM(IFERROR(C12:C21, 20))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C6" sqref="C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7" t="s">
        <v>53</v>
      </c>
      <c r="B4" s="1"/>
      <c r="C4" s="2" t="s">
        <v>180</v>
      </c>
    </row>
    <row r="5" spans="1:14" ht="18" x14ac:dyDescent="0.35">
      <c r="A5" s="43" t="s">
        <v>152</v>
      </c>
      <c r="C5" s="46" t="s">
        <v>181</v>
      </c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/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16">
        <f>INDEX($A$9:$J$18, MATCH(A23, $M$9:$M$18, 0), MATCH(B23, $M$9:$M$18, 0))</f>
        <v>95</v>
      </c>
    </row>
    <row r="24" spans="1:14" ht="14.4" x14ac:dyDescent="0.3">
      <c r="A24" s="7">
        <v>10100</v>
      </c>
      <c r="B24" s="12">
        <v>10104</v>
      </c>
      <c r="C24" s="16">
        <f t="shared" ref="C23:C35" si="0">INDEX($A$9:$J$18, MATCH(A24, $M$9:$M$18, 0), MATCH(B24, $M$9:$M$18, 0))</f>
        <v>-1</v>
      </c>
    </row>
    <row r="25" spans="1:14" ht="14.4" x14ac:dyDescent="0.3">
      <c r="A25" s="7">
        <v>10108</v>
      </c>
      <c r="B25" s="12">
        <v>10102</v>
      </c>
      <c r="C25" s="16">
        <f t="shared" si="0"/>
        <v>160</v>
      </c>
    </row>
    <row r="26" spans="1:14" ht="14.4" x14ac:dyDescent="0.3">
      <c r="A26" s="7">
        <v>10100</v>
      </c>
      <c r="B26" s="12">
        <v>10106</v>
      </c>
      <c r="C26" s="16">
        <f t="shared" si="0"/>
        <v>185</v>
      </c>
    </row>
    <row r="27" spans="1:14" ht="14.4" x14ac:dyDescent="0.3">
      <c r="A27" s="7">
        <v>10108</v>
      </c>
      <c r="B27" s="12">
        <v>10110</v>
      </c>
      <c r="C27" s="16">
        <f t="shared" si="0"/>
        <v>50</v>
      </c>
    </row>
    <row r="28" spans="1:14" ht="14.4" x14ac:dyDescent="0.3">
      <c r="A28" s="7">
        <v>10102</v>
      </c>
      <c r="B28" s="12">
        <v>10104</v>
      </c>
      <c r="C28" s="16">
        <f t="shared" si="0"/>
        <v>-1</v>
      </c>
    </row>
    <row r="29" spans="1:14" ht="14.4" x14ac:dyDescent="0.3">
      <c r="A29" s="7">
        <v>10106</v>
      </c>
      <c r="B29" s="12">
        <v>10108</v>
      </c>
      <c r="C29" s="16">
        <f t="shared" si="0"/>
        <v>70</v>
      </c>
    </row>
    <row r="30" spans="1:14" ht="14.4" x14ac:dyDescent="0.3">
      <c r="A30" s="7">
        <v>10102</v>
      </c>
      <c r="B30" s="12">
        <v>10106</v>
      </c>
      <c r="C30" s="16">
        <f t="shared" si="0"/>
        <v>90</v>
      </c>
    </row>
    <row r="31" spans="1:14" ht="14.4" x14ac:dyDescent="0.3">
      <c r="A31" s="7">
        <v>10110</v>
      </c>
      <c r="B31" s="12">
        <v>10114</v>
      </c>
      <c r="C31" s="16">
        <f t="shared" si="0"/>
        <v>180</v>
      </c>
    </row>
    <row r="32" spans="1:14" ht="14.4" x14ac:dyDescent="0.3">
      <c r="A32" s="7">
        <v>10104</v>
      </c>
      <c r="B32" s="12">
        <v>10106</v>
      </c>
      <c r="C32" s="16">
        <f t="shared" si="0"/>
        <v>60</v>
      </c>
    </row>
    <row r="33" spans="1:3" ht="14.4" x14ac:dyDescent="0.3">
      <c r="A33" s="7">
        <v>10110</v>
      </c>
      <c r="B33" s="12">
        <v>10112</v>
      </c>
      <c r="C33" s="16">
        <f t="shared" si="0"/>
        <v>115</v>
      </c>
    </row>
    <row r="34" spans="1:3" ht="14.4" x14ac:dyDescent="0.3">
      <c r="A34" s="7">
        <v>10100</v>
      </c>
      <c r="B34" s="12">
        <v>10114</v>
      </c>
      <c r="C34" s="16">
        <f>INDEX($A$9:$J$18, MATCH(A34, $M$9:$M$18, 0), MATCH(B34, $M$9:$M$18, 0))</f>
        <v>480</v>
      </c>
    </row>
    <row r="35" spans="1:3" ht="14.4" x14ac:dyDescent="0.3">
      <c r="A35" s="9">
        <v>10112</v>
      </c>
      <c r="B35" s="13">
        <v>10116</v>
      </c>
      <c r="C35" s="16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Abhay Pratap</cp:lastModifiedBy>
  <dcterms:created xsi:type="dcterms:W3CDTF">2015-02-10T17:33:11Z</dcterms:created>
  <dcterms:modified xsi:type="dcterms:W3CDTF">2024-10-22T13:28:25Z</dcterms:modified>
</cp:coreProperties>
</file>